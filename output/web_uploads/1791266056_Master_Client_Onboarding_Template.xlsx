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1_Company_Setup" sheetId="2" state="visible" r:id="rId2"/>
    <sheet name="2_Employees" sheetId="3" state="visible" r:id="rId3"/>
    <sheet name="3_Contracts" sheetId="4" state="visible" r:id="rId4"/>
    <sheet name="4_Payroll_GOSI" sheetId="5" state="visible" r:id="rId5"/>
    <sheet name="5_Time_Off" sheetId="6" state="visible" r:id="rId6"/>
    <sheet name="6_Attendances" sheetId="7" state="visible" r:id="rId7"/>
    <sheet name="7_Overtime" sheetId="8" state="visible" r:id="rId8"/>
    <sheet name="8_Loans" sheetId="9" state="visible" r:id="rId9"/>
    <sheet name="9_Disciplinary" sheetId="10" state="visible" r:id="rId10"/>
    <sheet name="10_End_of_Service" sheetId="11" state="visible" r:id="rId11"/>
    <sheet name="11_Appraisals" sheetId="12" state="visible" r:id="rId12"/>
    <sheet name="12_Recruitment" sheetId="13" state="visible" r:id="rId13"/>
    <sheet name="13_GR_Transactions" sheetId="14" state="visible" r:id="rId14"/>
    <sheet name="Refere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0.0"/>
  </numFmts>
  <fonts count="13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64748B"/>
      <sz val="9"/>
    </font>
    <font>
      <name val="Segoe UI"/>
      <b val="1"/>
      <color rgb="001E293B"/>
      <sz val="11"/>
    </font>
    <font>
      <name val="Segoe UI"/>
      <b val="1"/>
      <color rgb="001F4E79"/>
      <sz val="10"/>
    </font>
    <font>
      <name val="Segoe UI"/>
      <color rgb="001E293B"/>
      <sz val="10"/>
    </font>
    <font>
      <name val="Segoe UI"/>
      <b val="1"/>
      <color rgb="00991B1B"/>
      <sz val="11"/>
    </font>
    <font>
      <name val="Segoe UI"/>
      <b val="1"/>
      <color rgb="00991B1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115E59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49" fontId="10" fillId="5" borderId="1" applyAlignment="1" pivotButton="0" quotePrefix="0" xfId="0">
      <alignment horizontal="center" vertical="center" wrapText="1"/>
    </xf>
    <xf numFmtId="164" fontId="10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4" fontId="10" fillId="5" borderId="1" applyAlignment="1" pivotButton="0" quotePrefix="0" xfId="0">
      <alignment horizontal="center" vertical="center" wrapText="1"/>
    </xf>
    <xf numFmtId="165" fontId="10" fillId="5" borderId="1" applyAlignment="1" pivotButton="0" quotePrefix="0" xfId="0">
      <alignment horizontal="center" vertical="center" wrapText="1"/>
    </xf>
    <xf numFmtId="2" fontId="10" fillId="5" borderId="1" applyAlignment="1" pivotButton="0" quotePrefix="0" xfId="0">
      <alignment horizontal="center" vertical="center" wrapText="1"/>
    </xf>
    <xf numFmtId="166" fontId="10" fillId="5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7"/>
  <sheetViews>
    <sheetView showGridLines="1" rightToLeft="1" workbookViewId="0">
      <selection activeCell="A1" sqref="A1"/>
    </sheetView>
  </sheetViews>
  <sheetFormatPr baseColWidth="8" defaultRowHeight="15"/>
  <cols>
    <col width="6" customWidth="1" min="1" max="1"/>
    <col width="85" customWidth="1" min="2" max="2"/>
  </cols>
  <sheetData>
    <row r="2" ht="30" customHeight="1">
      <c r="B2" s="1" t="inlineStr">
        <is>
          <t>📖 دليل استخدام: تأسيس المنشأة الشامل (Master Onboarding)</t>
        </is>
      </c>
    </row>
    <row r="3">
      <c r="B3" s="2" t="inlineStr">
        <is>
          <t>تاريخ التوليد: 2026-10-06 | نظام أتمتة الموارد البشرية Odoo</t>
        </is>
      </c>
    </row>
    <row r="5">
      <c r="B5" s="3" t="inlineStr">
        <is>
          <t>📌 شروط وتوجيهات تعبئة البيانات:</t>
        </is>
      </c>
    </row>
    <row r="6" ht="22" customHeight="1">
      <c r="A6" s="4" t="inlineStr">
        <is>
          <t>1.</t>
        </is>
      </c>
      <c r="B6" s="5" t="inlineStr">
        <is>
          <t>هذا الملف هو القالب الشامل والموحد لتأسيس بيانات منشأتك بالكامل في نظام Odoo HR.</t>
        </is>
      </c>
    </row>
    <row r="7" ht="22" customHeight="1">
      <c r="A7" s="4" t="inlineStr">
        <is>
          <t>2.</t>
        </is>
      </c>
      <c r="B7" s="5" t="inlineStr">
        <is>
          <t>ابدأ بتعبئة تبويب (1_بيانات_المنشأة) ثم انتقل للتبويبات التالية بالترتيب.</t>
        </is>
      </c>
    </row>
    <row r="8" ht="22" customHeight="1">
      <c r="A8" s="4" t="inlineStr">
        <is>
          <t>3.</t>
        </is>
      </c>
      <c r="B8" s="5" t="inlineStr">
        <is>
          <t>تبويب (الموظفون) يمثل المرجع الأساسي، حيث يتم استخدام (رقم الهوية / الإقامة) لربط عقودهم، رواتبهم، إجازاتهم، وقروضهم في بقية التبويبات.</t>
        </is>
      </c>
    </row>
    <row r="9" ht="22" customHeight="1">
      <c r="A9" s="4" t="inlineStr">
        <is>
          <t>4.</t>
        </is>
      </c>
      <c r="B9" s="5" t="inlineStr">
        <is>
          <t>الحقول ذات الخلفية الكحلية الداكنة (*) هي حقول إلزامية لا يمكن استكمال التأسيس بدونها.</t>
        </is>
      </c>
    </row>
    <row r="10" ht="22" customHeight="1">
      <c r="A10" s="4" t="inlineStr">
        <is>
          <t>5.</t>
        </is>
      </c>
      <c r="B10" s="5" t="inlineStr">
        <is>
          <t>الحقول الخضراء تحتوي على معادلات احتساب تلقائية (مثل إجمالي الراتب، خصم التأمينات، القسط الشهري) يرجى عدم مسحها.</t>
        </is>
      </c>
    </row>
    <row r="11" ht="22" customHeight="1">
      <c r="A11" s="4" t="inlineStr">
        <is>
          <t>6.</t>
        </is>
      </c>
      <c r="B11" s="5" t="inlineStr">
        <is>
          <t>التواريخ تعتمد الصيغة القياسية الدولية: YYYY-MM-DD (مثال: 2026-10-01).</t>
        </is>
      </c>
    </row>
    <row r="13">
      <c r="B13" s="6" t="inlineStr">
        <is>
          <t>⚖️ الضوابط النظامية المعمول بها (نظام العمل والتأمينات):</t>
        </is>
      </c>
    </row>
    <row r="14" ht="24" customHeight="1">
      <c r="A14" s="7" t="inlineStr">
        <is>
          <t>•</t>
        </is>
      </c>
      <c r="B14" s="7" t="inlineStr">
        <is>
          <t>نظام العمل السعودي (الملكي م/51): توثيق عقود العمل، الالتزام بالحد الأدنى للأجور، وحدود ساعات العمل والإضافي.</t>
        </is>
      </c>
    </row>
    <row r="15" ht="24" customHeight="1">
      <c r="A15" s="7" t="inlineStr">
        <is>
          <t>•</t>
        </is>
      </c>
      <c r="B15" s="7" t="inlineStr">
        <is>
          <t>نظام التأمينات الاجتماعية: تطبيق نسب الحسم بدقة للمشتركين السعوديين (القديم 21.5% والجديد المتدرج) وغير السعوديين (2% أخطار مهنية).</t>
        </is>
      </c>
    </row>
    <row r="16" ht="24" customHeight="1">
      <c r="A16" s="7" t="inlineStr">
        <is>
          <t>•</t>
        </is>
      </c>
      <c r="B16" s="7" t="inlineStr">
        <is>
          <t>المادة 92: حظر تجاوز حسم قروض وصاحب العمل عن 25% من أجر العامل الشهري.</t>
        </is>
      </c>
    </row>
    <row r="17" ht="24" customHeight="1">
      <c r="A17" s="7" t="inlineStr">
        <is>
          <t>•</t>
        </is>
      </c>
      <c r="B17" s="7" t="inlineStr">
        <is>
          <t>المواد 84 و 85: احتساب مكافأة نهاية الخدمة بدقة وفق أسباب انتهاء العلاقة العمالية.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6" customWidth="1" min="3" max="3"/>
    <col width="26" customWidth="1" min="4" max="4"/>
    <col width="26" customWidth="1" min="5" max="5"/>
    <col width="28" customWidth="1" min="6" max="6"/>
    <col width="24" customWidth="1" min="7" max="7"/>
    <col width="32" customWidth="1" min="8" max="8"/>
    <col width="20" customWidth="1" min="9" max="9"/>
    <col width="22" customWidth="1" min="10" max="10"/>
    <col width="28" customWidth="1" min="11" max="11"/>
    <col width="18" customWidth="1" min="12" max="12"/>
    <col width="20" customWidth="1" min="13" max="13"/>
    <col width="28" customWidth="1" min="14" max="14"/>
    <col width="24" customWidth="1" min="15" max="15"/>
    <col width="28" customWidth="1" min="16" max="16"/>
  </cols>
  <sheetData>
    <row r="1" ht="28" customHeight="1">
      <c r="A1" s="8" t="inlineStr">
        <is>
          <t>بيانات تأسيس المنشأة والحسابات البنكية (Company Profile)</t>
        </is>
      </c>
    </row>
    <row r="2" ht="36" customHeight="1">
      <c r="A2" s="9" t="inlineStr">
        <is>
          <t>اسم المنشأة بالعربي *</t>
        </is>
      </c>
      <c r="B2" s="9" t="inlineStr">
        <is>
          <t>اسم المنشأة بالإنجليزي *</t>
        </is>
      </c>
      <c r="C2" s="9" t="inlineStr">
        <is>
          <t>رقم السجل التجاري (10 أرقام) *</t>
        </is>
      </c>
      <c r="D2" s="9" t="inlineStr">
        <is>
          <t>الرقم الضريبي (15 رقماً) *</t>
        </is>
      </c>
      <c r="E2" s="9" t="inlineStr">
        <is>
          <t>رقم المنشأة في التأمينات (GOSI) *</t>
        </is>
      </c>
      <c r="F2" s="9" t="inlineStr">
        <is>
          <t>رقم المنشأة في مكتب العمل / قوى *</t>
        </is>
      </c>
      <c r="G2" s="9" t="inlineStr">
        <is>
          <t>اسم البنك الرئيسي *</t>
        </is>
      </c>
      <c r="H2" s="9" t="inlineStr">
        <is>
          <t>الآيبان البنكي الرئيسي (يبدأ بـ SA) *</t>
        </is>
      </c>
      <c r="I2" s="9" t="inlineStr">
        <is>
          <t>المدينة *</t>
        </is>
      </c>
      <c r="J2" s="10" t="inlineStr">
        <is>
          <t>الحي</t>
        </is>
      </c>
      <c r="K2" s="10" t="inlineStr">
        <is>
          <t>العنوان الوطني / الشارع</t>
        </is>
      </c>
      <c r="L2" s="10" t="inlineStr">
        <is>
          <t>الرمز البريدي (5 أرقام)</t>
        </is>
      </c>
      <c r="M2" s="10" t="inlineStr">
        <is>
          <t>هاتف المنشأة</t>
        </is>
      </c>
      <c r="N2" s="10" t="inlineStr">
        <is>
          <t>البريد الإلكتروني الرسمي</t>
        </is>
      </c>
      <c r="O2" s="9" t="inlineStr">
        <is>
          <t>نوع الكيان (مقر رئيسي / فرع)</t>
        </is>
      </c>
      <c r="P2" s="10" t="inlineStr">
        <is>
          <t>الشركة الأم (في حال كان فرعاً)</t>
        </is>
      </c>
    </row>
    <row r="3" ht="24" customHeight="1">
      <c r="A3" s="11" t="inlineStr">
        <is>
          <t>شركة النخبة الذكية للتقنية</t>
        </is>
      </c>
      <c r="B3" s="11" t="inlineStr">
        <is>
          <t>Al-Nokhba Smart Tech Co.</t>
        </is>
      </c>
      <c r="C3" s="12" t="inlineStr">
        <is>
          <t>1010998877</t>
        </is>
      </c>
      <c r="D3" s="12" t="inlineStr">
        <is>
          <t>300123456700003</t>
        </is>
      </c>
      <c r="E3" s="12" t="inlineStr">
        <is>
          <t>998877665</t>
        </is>
      </c>
      <c r="F3" s="12" t="inlineStr">
        <is>
          <t>12-345678</t>
        </is>
      </c>
      <c r="G3" s="11" t="inlineStr">
        <is>
          <t>مصرف الراجحي</t>
        </is>
      </c>
      <c r="H3" s="12" t="inlineStr">
        <is>
          <t>SA4480000123456789012345</t>
        </is>
      </c>
      <c r="I3" s="11" t="inlineStr">
        <is>
          <t>الرياض</t>
        </is>
      </c>
      <c r="J3" s="11" t="inlineStr">
        <is>
          <t>العليا</t>
        </is>
      </c>
      <c r="K3" s="11" t="inlineStr">
        <is>
          <t>طريق الملك فهد</t>
        </is>
      </c>
      <c r="L3" s="12" t="inlineStr">
        <is>
          <t>12214</t>
        </is>
      </c>
      <c r="M3" s="12" t="inlineStr">
        <is>
          <t>0112345678</t>
        </is>
      </c>
      <c r="N3" s="11" t="inlineStr">
        <is>
          <t>hr@alnokhba.sa</t>
        </is>
      </c>
      <c r="O3" s="11" t="inlineStr">
        <is>
          <t>مقر رئيسي</t>
        </is>
      </c>
      <c r="P3" s="11" t="inlineStr"/>
    </row>
  </sheetData>
  <mergeCells count="1">
    <mergeCell ref="A1:P1"/>
  </mergeCells>
  <dataValidations count="3">
    <dataValidation sqref="G4:G500" showDropDown="0" showInputMessage="0" showErrorMessage="0" allowBlank="1" errorTitle="قيمة غير صالحة" error="الرجاء الاختيار من القائمة المنسدلة المعتمدة فقط." type="list">
      <formula1>=Reference!$I$2:$I$11</formula1>
    </dataValidation>
    <dataValidation sqref="I4:I500" showDropDown="0" showInputMessage="0" showErrorMessage="0" allowBlank="1" errorTitle="قيمة غير صالحة" error="الرجاء الاختيار من القائمة المنسدلة المعتمدة فقط." type="list">
      <formula1>=Reference!$K$2:$K$17</formula1>
    </dataValidation>
    <dataValidation sqref="O4:O500" showDropDown="0" showInputMessage="0" showErrorMessage="0" allowBlank="1" errorTitle="قيمة غير صالحة" error="الرجاء الاختيار من القائمة المنسدلة المعتمدة فقط." type="list">
      <formula1>=Reference!$S$2:$S$3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8" customWidth="1" min="9" max="9"/>
    <col width="28" customWidth="1" min="10" max="10"/>
    <col width="26" customWidth="1" min="11" max="11"/>
    <col width="26" customWidth="1" min="12" max="12"/>
    <col width="24" customWidth="1" min="13" max="13"/>
    <col width="20" customWidth="1" min="14" max="14"/>
  </cols>
  <sheetData>
    <row r="1" ht="28" customHeight="1">
      <c r="A1" s="8" t="inlineStr">
        <is>
          <t>بيانات الموظفين الأساسية ومواقع العمل (Employees Master Data)</t>
        </is>
      </c>
    </row>
    <row r="2" ht="36" customHeight="1">
      <c r="A2" s="9" t="inlineStr">
        <is>
          <t>اسم الموظف الكامل بالعربي *</t>
        </is>
      </c>
      <c r="B2" s="10" t="inlineStr">
        <is>
          <t>اسم الموظف بالإنجليزي</t>
        </is>
      </c>
      <c r="C2" s="9" t="inlineStr">
        <is>
          <t>رقم الهوية الوطنية / الإقامة (10 أرقام) *</t>
        </is>
      </c>
      <c r="D2" s="9" t="inlineStr">
        <is>
          <t>الجنسية *</t>
        </is>
      </c>
      <c r="E2" s="9" t="inlineStr">
        <is>
          <t>الجنس (ذكر / أنثى) *</t>
        </is>
      </c>
      <c r="F2" s="9" t="inlineStr">
        <is>
          <t>تاريخ الميلاد *</t>
        </is>
      </c>
      <c r="G2" s="10" t="inlineStr">
        <is>
          <t>الحالة الاجتماعية</t>
        </is>
      </c>
      <c r="H2" s="9" t="inlineStr">
        <is>
          <t>رقم الجوال (05xxxxxxxx) *</t>
        </is>
      </c>
      <c r="I2" s="10" t="inlineStr">
        <is>
          <t>البريد الإلكتروني للعمل</t>
        </is>
      </c>
      <c r="J2" s="9" t="inlineStr">
        <is>
          <t>المنشأة التابع لها *</t>
        </is>
      </c>
      <c r="K2" s="9" t="inlineStr">
        <is>
          <t>الفرع / موقع العمل *</t>
        </is>
      </c>
      <c r="L2" s="9" t="inlineStr">
        <is>
          <t>القسم / الإدارة *</t>
        </is>
      </c>
      <c r="M2" s="9" t="inlineStr">
        <is>
          <t>المسمى الوظيفي *</t>
        </is>
      </c>
      <c r="N2" s="9" t="inlineStr">
        <is>
          <t>تاريخ المباشرة *</t>
        </is>
      </c>
    </row>
    <row r="3" ht="24" customHeight="1">
      <c r="A3" s="11" t="inlineStr">
        <is>
          <t>عبدالله بن محمد الغامدي</t>
        </is>
      </c>
      <c r="B3" s="11" t="inlineStr">
        <is>
          <t>Abdullah Al-Ghamdi</t>
        </is>
      </c>
      <c r="C3" s="12" t="inlineStr">
        <is>
          <t>1088776655</t>
        </is>
      </c>
      <c r="D3" s="11" t="inlineStr">
        <is>
          <t>سعودي</t>
        </is>
      </c>
      <c r="E3" s="11" t="inlineStr">
        <is>
          <t>ذكر</t>
        </is>
      </c>
      <c r="F3" s="13" t="inlineStr">
        <is>
          <t>1994-05-12</t>
        </is>
      </c>
      <c r="G3" s="11" t="inlineStr">
        <is>
          <t>متزوج</t>
        </is>
      </c>
      <c r="H3" s="12" t="inlineStr">
        <is>
          <t>0501234567</t>
        </is>
      </c>
      <c r="I3" s="11" t="inlineStr">
        <is>
          <t>a.ghamdi@alnokhba.sa</t>
        </is>
      </c>
      <c r="J3" s="11" t="inlineStr">
        <is>
          <t>شركة النخبة الذكية للتقنية</t>
        </is>
      </c>
      <c r="K3" s="11" t="inlineStr">
        <is>
          <t>فرع الرياض - المقر الرئيسي</t>
        </is>
      </c>
      <c r="L3" s="11" t="inlineStr">
        <is>
          <t>المالية والمحاسبة</t>
        </is>
      </c>
      <c r="M3" s="11" t="inlineStr">
        <is>
          <t>مسؤول محاسبة</t>
        </is>
      </c>
      <c r="N3" s="13" t="inlineStr">
        <is>
          <t>2026-01-01</t>
        </is>
      </c>
    </row>
  </sheetData>
  <mergeCells count="1">
    <mergeCell ref="A1:N1"/>
  </mergeCells>
  <dataValidations count="7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=Reference!$M$2:$M$14</formula1>
    </dataValidation>
    <dataValidation sqref="E4:E500" showDropDown="0" showInputMessage="0" showErrorMessage="0" allowBlank="1" errorTitle="قيمة غير صالحة" error="الرجاء الاختيار من القائمة المنسدلة المعتمدة فقط." type="list">
      <formula1>=Reference!$O$2:$O$3</formula1>
    </dataValidation>
    <dataValidation sqref="G4:G500" showDropDown="0" showInputMessage="0" showErrorMessage="0" allowBlank="1" errorTitle="قيمة غير صالحة" error="الرجاء الاختيار من القائمة المنسدلة المعتمدة فقط." type="list">
      <formula1>=Reference!$Q$2:$Q$5</formula1>
    </dataValidation>
    <dataValidation sqref="J4:J500" showDropDown="0" showInputMessage="0" showErrorMessage="0" allowBlank="1" errorTitle="قيمة غير صالحة" error="الرجاء الاختيار من القائمة المنسدلة المعتمدة فقط." type="list">
      <formula1>=Reference!$A$2:$A$5</formula1>
    </dataValidation>
    <dataValidation sqref="K4:K500" showDropDown="0" showInputMessage="0" showErrorMessage="0" allowBlank="1" errorTitle="قيمة غير صالحة" error="الرجاء الاختيار من القائمة المنسدلة المعتمدة فقط." type="list">
      <formula1>=Reference!$C$2:$C$5</formula1>
    </dataValidation>
    <dataValidation sqref="L4:L500" showDropDown="0" showInputMessage="0" showErrorMessage="0" allowBlank="1" errorTitle="قيمة غير صالحة" error="الرجاء الاختيار من القائمة المنسدلة المعتمدة فقط." type="list">
      <formula1>=Reference!$E$2:$E$7</formula1>
    </dataValidation>
    <dataValidation sqref="M4:M500" showDropDown="0" showInputMessage="0" showErrorMessage="0" allowBlank="1" errorTitle="قيمة غير صالحة" error="الرجاء الاختيار من القائمة المنسدلة المعتمدة فقط." type="list">
      <formula1>=Reference!$G$2:$G$6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20" customWidth="1" min="4" max="4"/>
    <col width="22" customWidth="1" min="5" max="5"/>
    <col width="24" customWidth="1" min="6" max="6"/>
    <col width="22" customWidth="1" min="7" max="7"/>
    <col width="22" customWidth="1" min="8" max="8"/>
    <col width="22" customWidth="1" min="9" max="9"/>
    <col width="22" customWidth="1" min="10" max="10"/>
    <col width="24" customWidth="1" min="11" max="11"/>
  </cols>
  <sheetData>
    <row r="1" ht="28" customHeight="1">
      <c r="A1" s="8" t="inlineStr">
        <is>
          <t>العقود والبدلات (Contracts &amp; Allowances - hr.version)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الثلاثي *</t>
        </is>
      </c>
      <c r="C2" s="9" t="inlineStr">
        <is>
          <t>نوع العقد *</t>
        </is>
      </c>
      <c r="D2" s="9" t="inlineStr">
        <is>
          <t>تاريخ بداية العقد *</t>
        </is>
      </c>
      <c r="E2" s="10" t="inlineStr">
        <is>
          <t>تاريخ نهاية العقد (للمحدد)</t>
        </is>
      </c>
      <c r="F2" s="9" t="inlineStr">
        <is>
          <t>فترة التجربة بالأيام (حد أقصى 180) *</t>
        </is>
      </c>
      <c r="G2" s="9" t="inlineStr">
        <is>
          <t>الراتب الأساسي (ر.س) *</t>
        </is>
      </c>
      <c r="H2" s="9" t="inlineStr">
        <is>
          <t>بدل السكن الشهري (ر.س) *</t>
        </is>
      </c>
      <c r="I2" s="9" t="inlineStr">
        <is>
          <t>بدل النقل الشهري (ر.س) *</t>
        </is>
      </c>
      <c r="J2" s="10" t="inlineStr">
        <is>
          <t>بدلات أخرى ثابتة (ر.س)</t>
        </is>
      </c>
      <c r="K2" s="14" t="inlineStr">
        <is>
          <t>إجمالي الراتب الشهري (تلقائي)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1" t="inlineStr">
        <is>
          <t>محدد المدة</t>
        </is>
      </c>
      <c r="D3" s="13" t="inlineStr">
        <is>
          <t>2026-01-01</t>
        </is>
      </c>
      <c r="E3" s="13" t="inlineStr">
        <is>
          <t>2027-01-01</t>
        </is>
      </c>
      <c r="F3" s="11" t="n">
        <v>90</v>
      </c>
      <c r="G3" s="15" t="n">
        <v>8000</v>
      </c>
      <c r="H3" s="15" t="n">
        <v>2000</v>
      </c>
      <c r="I3" s="15" t="n">
        <v>1000</v>
      </c>
      <c r="J3" s="15" t="n">
        <v>500</v>
      </c>
      <c r="K3" s="15">
        <f>G3+H3+I3+J3</f>
        <v/>
      </c>
    </row>
  </sheetData>
  <mergeCells count="1">
    <mergeCell ref="A1:K1"/>
  </mergeCells>
  <dataValidations count="1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=Reference!$U$2:$U$3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2" customWidth="1" min="3" max="3"/>
    <col width="24" customWidth="1" min="4" max="4"/>
    <col width="24" customWidth="1" min="5" max="5"/>
    <col width="32" customWidth="1" min="6" max="6"/>
    <col width="28" customWidth="1" min="7" max="7"/>
    <col width="26" customWidth="1" min="8" max="8"/>
    <col width="26" customWidth="1" min="9" max="9"/>
    <col width="26" customWidth="1" min="10" max="10"/>
  </cols>
  <sheetData>
    <row r="1" ht="28" customHeight="1">
      <c r="A1" s="8" t="inlineStr">
        <is>
          <t>الرواتب وتأمينات GOSI وحماية الأجور (Payroll &amp; GOSI)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نوع الاشتراك التأميني *</t>
        </is>
      </c>
      <c r="D2" s="10" t="inlineStr">
        <is>
          <t>رقم المشترك في التأمينات</t>
        </is>
      </c>
      <c r="E2" s="9" t="inlineStr">
        <is>
          <t>بنك الموظف (لتحويل الراتب) *</t>
        </is>
      </c>
      <c r="F2" s="9" t="inlineStr">
        <is>
          <t>آيبان الموظف (WPS) *</t>
        </is>
      </c>
      <c r="G2" s="9" t="inlineStr">
        <is>
          <t>الأجر الخاضع للاشتراك (أساسي + سكن) *</t>
        </is>
      </c>
      <c r="H2" s="14" t="inlineStr">
        <is>
          <t>استقطاع الموظف للتأمينات (تلقائي)</t>
        </is>
      </c>
      <c r="I2" s="14" t="inlineStr">
        <is>
          <t>حصة الشركة للتأمينات (تلقائي)</t>
        </is>
      </c>
      <c r="J2" s="14" t="inlineStr">
        <is>
          <t>صافي الراتب المتوقع للتحويل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1" t="inlineStr">
        <is>
          <t>سعودي - مشترك قديم (21.5%)</t>
        </is>
      </c>
      <c r="D3" s="12" t="inlineStr">
        <is>
          <t>12345678</t>
        </is>
      </c>
      <c r="E3" s="11" t="inlineStr">
        <is>
          <t>مصرف الراجحي</t>
        </is>
      </c>
      <c r="F3" s="12" t="inlineStr">
        <is>
          <t>SA1280000987654321098765</t>
        </is>
      </c>
      <c r="G3" s="15" t="n">
        <v>10000</v>
      </c>
      <c r="H3" s="15">
        <f>G3*0.0975</f>
        <v/>
      </c>
      <c r="I3" s="15">
        <f>G3*0.1175</f>
        <v/>
      </c>
      <c r="J3" s="15">
        <f>G3-H3</f>
        <v/>
      </c>
    </row>
  </sheetData>
  <mergeCells count="1">
    <mergeCell ref="A1:J1"/>
  </mergeCells>
  <dataValidations count="2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=Reference!$W$2:$W$4</formula1>
    </dataValidation>
    <dataValidation sqref="E4:E500" showDropDown="0" showInputMessage="0" showErrorMessage="0" allowBlank="1" errorTitle="قيمة غير صالحة" error="الرجاء الاختيار من القائمة المنسدلة المعتمدة فقط." type="list">
      <formula1>=Reference!$I$2:$I$11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2" customWidth="1" min="4" max="4"/>
    <col width="22" customWidth="1" min="5" max="5"/>
    <col width="20" customWidth="1" min="6" max="6"/>
    <col width="24" customWidth="1" min="7" max="7"/>
    <col width="30" customWidth="1" min="8" max="8"/>
  </cols>
  <sheetData>
    <row r="1" ht="28" customHeight="1">
      <c r="A1" s="8" t="inlineStr">
        <is>
          <t>الإجازات والأرصدة الافتتاحية (Time Off &amp; Balances)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نوع الإجازة *</t>
        </is>
      </c>
      <c r="D2" s="9" t="inlineStr">
        <is>
          <t>تاريخ بداية الإجازة *</t>
        </is>
      </c>
      <c r="E2" s="9" t="inlineStr">
        <is>
          <t>تاريخ نهاية الإجازة *</t>
        </is>
      </c>
      <c r="F2" s="9" t="inlineStr">
        <is>
          <t>عدد الأيام المطلوبة *</t>
        </is>
      </c>
      <c r="G2" s="10" t="inlineStr">
        <is>
          <t>الرصيد الافتتاحي المتراكم السابق</t>
        </is>
      </c>
      <c r="H2" s="10" t="inlineStr">
        <is>
          <t>ملاحظات وتفاصيل الإجازة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1" t="inlineStr">
        <is>
          <t>إجازة سنوية اعتيادية</t>
        </is>
      </c>
      <c r="D3" s="13" t="inlineStr">
        <is>
          <t>2026-08-01</t>
        </is>
      </c>
      <c r="E3" s="13" t="inlineStr">
        <is>
          <t>2026-08-15</t>
        </is>
      </c>
      <c r="F3" s="11" t="n">
        <v>15</v>
      </c>
      <c r="G3" s="11" t="n">
        <v>21</v>
      </c>
      <c r="H3" s="11" t="inlineStr">
        <is>
          <t>إجازة سنوية مجدولة</t>
        </is>
      </c>
    </row>
  </sheetData>
  <mergeCells count="1">
    <mergeCell ref="A1:H1"/>
  </mergeCells>
  <dataValidations count="1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=Reference!$Y$2:$Y$8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4" customWidth="1" min="3" max="3"/>
    <col width="24" customWidth="1" min="4" max="4"/>
    <col width="20" customWidth="1" min="5" max="5"/>
    <col width="20" customWidth="1" min="6" max="6"/>
    <col width="24" customWidth="1" min="7" max="7"/>
    <col width="22" customWidth="1" min="8" max="8"/>
    <col width="22" customWidth="1" min="9" max="9"/>
  </cols>
  <sheetData>
    <row r="1" ht="28" customHeight="1">
      <c r="A1" s="8" t="inlineStr">
        <is>
          <t>ساعات الحضور وسجلات الدوام (Attendance Sheets)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شهر وسنة الكشف (YYYY-MM) *</t>
        </is>
      </c>
      <c r="D2" s="9" t="inlineStr">
        <is>
          <t>موقع العمل / الفرع *</t>
        </is>
      </c>
      <c r="E2" s="9" t="inlineStr">
        <is>
          <t>أيام العمل المفترضة *</t>
        </is>
      </c>
      <c r="F2" s="9" t="inlineStr">
        <is>
          <t>أيام الحضور الفعلية *</t>
        </is>
      </c>
      <c r="G2" s="10" t="inlineStr">
        <is>
          <t>إجمالي ساعات الحضور الفعلية</t>
        </is>
      </c>
      <c r="H2" s="10" t="inlineStr">
        <is>
          <t>دقائق التأخير الإجمالية</t>
        </is>
      </c>
      <c r="I2" s="10" t="inlineStr">
        <is>
          <t>أيام الغياب غير المبرر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2" t="inlineStr">
        <is>
          <t>2026-10</t>
        </is>
      </c>
      <c r="D3" s="11" t="inlineStr">
        <is>
          <t>فرع الرياض - المقر الرئيسي</t>
        </is>
      </c>
      <c r="E3" s="11" t="n">
        <v>22</v>
      </c>
      <c r="F3" s="11" t="n">
        <v>22</v>
      </c>
      <c r="G3" s="11" t="n">
        <v>176</v>
      </c>
      <c r="H3" s="11" t="n">
        <v>35</v>
      </c>
      <c r="I3" s="11" t="n">
        <v>0</v>
      </c>
    </row>
  </sheetData>
  <mergeCells count="1">
    <mergeCell ref="A1:I1"/>
  </mergeCells>
  <dataValidations count="1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=Reference!$C$2:$C$5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30" customWidth="1" min="4" max="4"/>
    <col width="22" customWidth="1" min="5" max="5"/>
    <col width="28" customWidth="1" min="6" max="6"/>
    <col width="24" customWidth="1" min="7" max="7"/>
    <col width="26" customWidth="1" min="8" max="8"/>
    <col width="32" customWidth="1" min="9" max="9"/>
  </cols>
  <sheetData>
    <row r="1" ht="28" customHeight="1">
      <c r="A1" s="8" t="inlineStr">
        <is>
          <t>العمل الإضافي والأوفرتايم (Overtime Requests - مادة 107)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تاريخ العمل الإضافي *</t>
        </is>
      </c>
      <c r="D2" s="9" t="inlineStr">
        <is>
          <t>نوع يوم الإضافي *</t>
        </is>
      </c>
      <c r="E2" s="9" t="inlineStr">
        <is>
          <t>عدد الساعات الإضافية *</t>
        </is>
      </c>
      <c r="F2" s="9" t="inlineStr">
        <is>
          <t>أجر الساعة المعتاد (الأساسي / 240) *</t>
        </is>
      </c>
      <c r="G2" s="14" t="inlineStr">
        <is>
          <t>معامل الإضافي (1.5x تلقائي)</t>
        </is>
      </c>
      <c r="H2" s="14" t="inlineStr">
        <is>
          <t>المبلغ الإجمالي المستحق (تلقائي)</t>
        </is>
      </c>
      <c r="I2" s="9" t="inlineStr">
        <is>
          <t>مبرر التكليف وموافقة الإدارة *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3" t="inlineStr">
        <is>
          <t>2026-10-15</t>
        </is>
      </c>
      <c r="D3" s="11" t="inlineStr">
        <is>
          <t>ساعات عمل عادية (1.5x الأجر الأساسي)</t>
        </is>
      </c>
      <c r="E3" s="11" t="n">
        <v>4</v>
      </c>
      <c r="F3" s="15" t="n">
        <v>33.33</v>
      </c>
      <c r="G3" s="11" t="n">
        <v>1.5</v>
      </c>
      <c r="H3" s="15">
        <f>E3*F3*G3</f>
        <v/>
      </c>
      <c r="I3" s="11" t="inlineStr">
        <is>
          <t>إنجاز الإقفال المالي الشهري</t>
        </is>
      </c>
    </row>
  </sheetData>
  <mergeCells count="1">
    <mergeCell ref="A1:I1"/>
  </mergeCells>
  <dataValidations count="1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=Reference!$AG$2:$AG$4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6" customWidth="1" min="3" max="3"/>
    <col width="28" customWidth="1" min="4" max="4"/>
    <col width="24" customWidth="1" min="5" max="5"/>
    <col width="26" customWidth="1" min="6" max="6"/>
    <col width="26" customWidth="1" min="7" max="7"/>
    <col width="26" customWidth="1" min="8" max="8"/>
    <col width="22" customWidth="1" min="9" max="9"/>
    <col width="20" customWidth="1" min="10" max="10"/>
    <col width="30" customWidth="1" min="11" max="11"/>
  </cols>
  <sheetData>
    <row r="1" ht="28" customHeight="1">
      <c r="A1" s="8" t="inlineStr">
        <is>
          <t>قروض وسلف الموظفين والأقساط (Loans &amp; Installments - مادة 92)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نوع السلفة / القرض *</t>
        </is>
      </c>
      <c r="D2" s="9" t="inlineStr">
        <is>
          <t>إجمالي مبلغ القرض المطلوب (ر.س) *</t>
        </is>
      </c>
      <c r="E2" s="9" t="inlineStr">
        <is>
          <t>مدة السداد بالأشهر (الأقساط) *</t>
        </is>
      </c>
      <c r="F2" s="14" t="inlineStr">
        <is>
          <t>قيمة القسط الشهري (تلقائي)</t>
        </is>
      </c>
      <c r="G2" s="9" t="inlineStr">
        <is>
          <t>إجمالي راتب الموظف الشهري *</t>
        </is>
      </c>
      <c r="H2" s="14" t="inlineStr">
        <is>
          <t>نسبة الاستقطاع (حد أقصى 25%)</t>
        </is>
      </c>
      <c r="I2" s="9" t="inlineStr">
        <is>
          <t>تاريخ بداية أول قسط *</t>
        </is>
      </c>
      <c r="J2" s="9" t="inlineStr">
        <is>
          <t>طريقة الصرف *</t>
        </is>
      </c>
      <c r="K2" s="9" t="inlineStr">
        <is>
          <t>سبب طلب القرض / السلفة *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1" t="inlineStr">
        <is>
          <t>سلفة شخصية قصيرة الأجل</t>
        </is>
      </c>
      <c r="D3" s="15" t="n">
        <v>12000</v>
      </c>
      <c r="E3" s="11" t="n">
        <v>6</v>
      </c>
      <c r="F3" s="15">
        <f>D3/E3</f>
        <v/>
      </c>
      <c r="G3" s="15" t="n">
        <v>11000</v>
      </c>
      <c r="H3" s="16">
        <f>F3/G3</f>
        <v/>
      </c>
      <c r="I3" s="13" t="inlineStr">
        <is>
          <t>2026-11-01</t>
        </is>
      </c>
      <c r="J3" s="11" t="inlineStr">
        <is>
          <t>تحويل بنكي</t>
        </is>
      </c>
      <c r="K3" s="11" t="inlineStr">
        <is>
          <t>ظرف عائلي طارئ</t>
        </is>
      </c>
    </row>
  </sheetData>
  <mergeCells count="1">
    <mergeCell ref="A1:K1"/>
  </mergeCells>
  <dataValidations count="2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=Reference!$AA$2:$AA$5</formula1>
    </dataValidation>
    <dataValidation sqref="J4:J500" showDropDown="0" showInputMessage="0" showErrorMessage="0" allowBlank="1" errorTitle="قيمة غير صالحة" error="الرجاء الاختيار من القائمة المنسدلة المعتمدة فقط." type="list">
      <formula1>=Reference!$AC$2:$AC$4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30" customWidth="1" min="4" max="4"/>
    <col width="26" customWidth="1" min="5" max="5"/>
    <col width="26" customWidth="1" min="6" max="6"/>
    <col width="34" customWidth="1" min="7" max="7"/>
  </cols>
  <sheetData>
    <row r="1" ht="28" customHeight="1">
      <c r="A1" s="8" t="inlineStr">
        <is>
          <t>الجزاءات والإنذارات والمخالفات (Disciplinary Management)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تاريخ ارتكاب المخالفة *</t>
        </is>
      </c>
      <c r="D2" s="9" t="inlineStr">
        <is>
          <t>نوع الجزاء الموقع *</t>
        </is>
      </c>
      <c r="E2" s="10" t="inlineStr">
        <is>
          <t>عدد أيام الخصم (حد أقصى 5 أيام)</t>
        </is>
      </c>
      <c r="F2" s="9" t="inlineStr">
        <is>
          <t>تاريخ التحقيق وسماع الأقوال *</t>
        </is>
      </c>
      <c r="G2" s="9" t="inlineStr">
        <is>
          <t>وصف المخالفة وقرار الإدارة *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3" t="inlineStr">
        <is>
          <t>2026-09-10</t>
        </is>
      </c>
      <c r="D3" s="11" t="inlineStr">
        <is>
          <t>خصم يوم من الأجر</t>
        </is>
      </c>
      <c r="E3" s="11" t="n">
        <v>1</v>
      </c>
      <c r="F3" s="13" t="inlineStr">
        <is>
          <t>2026-09-12</t>
        </is>
      </c>
      <c r="G3" s="11" t="inlineStr">
        <is>
          <t>تكرار التأخر الصباحي بدون عذر بعد إنذار أولي</t>
        </is>
      </c>
    </row>
  </sheetData>
  <mergeCells count="1">
    <mergeCell ref="A1:G1"/>
  </mergeCells>
  <dataValidations count="1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=Reference!$AE$2:$AE$8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2" customWidth="1" min="3" max="3"/>
    <col width="24" customWidth="1" min="4" max="4"/>
    <col width="36" customWidth="1" min="5" max="5"/>
    <col width="28" customWidth="1" min="6" max="6"/>
    <col width="22" customWidth="1" min="7" max="7"/>
    <col width="28" customWidth="1" min="8" max="8"/>
    <col width="26" customWidth="1" min="9" max="9"/>
    <col width="26" customWidth="1" min="10" max="10"/>
    <col width="26" customWidth="1" min="11" max="11"/>
  </cols>
  <sheetData>
    <row r="1" ht="28" customHeight="1">
      <c r="A1" s="8" t="inlineStr">
        <is>
          <t>مكافأة نهاية الخدمة والتسويات (End of Service Rewards - مواد 77, 80, 84, 85)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تاريخ بداية الخدمة *</t>
        </is>
      </c>
      <c r="D2" s="9" t="inlineStr">
        <is>
          <t>تاريخ انتهاء الخدمة (آخر دوام) *</t>
        </is>
      </c>
      <c r="E2" s="9" t="inlineStr">
        <is>
          <t>سبب انتهاء العلاقة العمالية *</t>
        </is>
      </c>
      <c r="F2" s="9" t="inlineStr">
        <is>
          <t>آخر أجر شهري كامل (أساسي+بدلات) *</t>
        </is>
      </c>
      <c r="G2" s="14" t="inlineStr">
        <is>
          <t>مدة الخدمة بالسنوات (تلقائي)</t>
        </is>
      </c>
      <c r="H2" s="14" t="inlineStr">
        <is>
          <t>مكافأة نهاية الخدمة المستحقة (تلقائي)</t>
        </is>
      </c>
      <c r="I2" s="10" t="inlineStr">
        <is>
          <t>بدل رصيد الإجازات المتبقية (ر.س)</t>
        </is>
      </c>
      <c r="J2" s="10" t="inlineStr">
        <is>
          <t>خصم السلف والقروض المتبقية (ر.س)</t>
        </is>
      </c>
      <c r="K2" s="14" t="inlineStr">
        <is>
          <t>صافي مبلغ المخالصة النهائية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3" t="inlineStr">
        <is>
          <t>2020-01-01</t>
        </is>
      </c>
      <c r="D3" s="13" t="inlineStr">
        <is>
          <t>2026-01-01</t>
        </is>
      </c>
      <c r="E3" s="11" t="inlineStr">
        <is>
          <t>انتهاء مدة العقد (مادة 84 - مكافأة كاملة)</t>
        </is>
      </c>
      <c r="F3" s="15" t="n">
        <v>11000</v>
      </c>
      <c r="G3" s="17">
        <f>ROUND((D3-C3)/365.25, 2)</f>
        <v/>
      </c>
      <c r="H3" s="15" t="n">
        <v>49500</v>
      </c>
      <c r="I3" s="15" t="n">
        <v>5500</v>
      </c>
      <c r="J3" s="15" t="n">
        <v>0</v>
      </c>
      <c r="K3" s="15">
        <f>H3+I3-J3</f>
        <v/>
      </c>
    </row>
  </sheetData>
  <mergeCells count="1">
    <mergeCell ref="A1:K1"/>
  </mergeCells>
  <dataValidations count="1">
    <dataValidation sqref="E4:E500" showDropDown="0" showInputMessage="0" showErrorMessage="0" allowBlank="1" errorTitle="قيمة غير صالحة" error="الرجاء الاختيار من القائمة المنسدلة المعتمدة فقط." type="list">
      <formula1>=Reference!$AI$2:$AI$11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26" customWidth="1" min="4" max="4"/>
    <col width="26" customWidth="1" min="5" max="5"/>
    <col width="26" customWidth="1" min="6" max="6"/>
    <col width="26" customWidth="1" min="7" max="7"/>
    <col width="24" customWidth="1" min="8" max="8"/>
    <col width="22" customWidth="1" min="9" max="9"/>
    <col width="32" customWidth="1" min="10" max="10"/>
  </cols>
  <sheetData>
    <row r="1" ht="28" customHeight="1">
      <c r="A1" s="8" t="inlineStr">
        <is>
          <t>تقييمات الأداء والموظفين (Employee Appraisals)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سنة التقييم (YYYY) *</t>
        </is>
      </c>
      <c r="D2" s="9" t="inlineStr">
        <is>
          <t>نوع التقييم *</t>
        </is>
      </c>
      <c r="E2" s="9" t="inlineStr">
        <is>
          <t>اسم المدير المقيّم *</t>
        </is>
      </c>
      <c r="F2" s="9" t="inlineStr">
        <is>
          <t>درجة الأهداف والمؤشرات (من 100) *</t>
        </is>
      </c>
      <c r="G2" s="9" t="inlineStr">
        <is>
          <t>درجة الكفاءات والسلوك (من 100) *</t>
        </is>
      </c>
      <c r="H2" s="14" t="inlineStr">
        <is>
          <t>المعدل العام النهائي (من 100)</t>
        </is>
      </c>
      <c r="I2" s="9" t="inlineStr">
        <is>
          <t>التقدير المعتمد *</t>
        </is>
      </c>
      <c r="J2" s="10" t="inlineStr">
        <is>
          <t>التوصيات (ترقية / علاوة / تطوير)</t>
        </is>
      </c>
    </row>
    <row r="3" ht="24" customHeight="1">
      <c r="A3" s="12" t="inlineStr">
        <is>
          <t>1088776655</t>
        </is>
      </c>
      <c r="B3" s="11" t="inlineStr">
        <is>
          <t>عبدالله بن محمد الغامدي</t>
        </is>
      </c>
      <c r="C3" s="12" t="inlineStr">
        <is>
          <t>2026</t>
        </is>
      </c>
      <c r="D3" s="11" t="inlineStr">
        <is>
          <t>تقييم سنوي شامل</t>
        </is>
      </c>
      <c r="E3" s="11" t="inlineStr">
        <is>
          <t>فهد السبيعي</t>
        </is>
      </c>
      <c r="F3" s="11" t="n">
        <v>92</v>
      </c>
      <c r="G3" s="11" t="n">
        <v>90</v>
      </c>
      <c r="H3" s="18">
        <f>(F3*0.7)+(G3*0.3)</f>
        <v/>
      </c>
      <c r="I3" s="11" t="inlineStr">
        <is>
          <t>ممتاز (90 - 100)</t>
        </is>
      </c>
      <c r="J3" s="11" t="inlineStr">
        <is>
          <t>ترقية لمستوى وظيفي أعلى مع علاوة استحقاق</t>
        </is>
      </c>
    </row>
  </sheetData>
  <mergeCells count="1">
    <mergeCell ref="A1:J1"/>
  </mergeCells>
  <dataValidations count="2"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=Reference!$AK$2:$AK$4</formula1>
    </dataValidation>
    <dataValidation sqref="I4:I500" showDropDown="0" showInputMessage="0" showErrorMessage="0" allowBlank="1" errorTitle="قيمة غير صالحة" error="الرجاء الاختيار من القائمة المنسدلة المعتمدة فقط." type="list">
      <formula1>=Reference!$AM$2:$AM$6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0" customWidth="1" min="5" max="5"/>
    <col width="20" customWidth="1" min="6" max="6"/>
    <col width="28" customWidth="1" min="7" max="7"/>
    <col width="22" customWidth="1" min="8" max="8"/>
    <col width="20" customWidth="1" min="9" max="9"/>
    <col width="24" customWidth="1" min="10" max="10"/>
  </cols>
  <sheetData>
    <row r="1" ht="28" customHeight="1">
      <c r="A1" s="8" t="inlineStr">
        <is>
          <t>طلبات التوظيف وشواغر المتقدمين (Recruitment &amp; Applicants)</t>
        </is>
      </c>
    </row>
    <row r="2" ht="36" customHeight="1">
      <c r="A2" s="9" t="inlineStr">
        <is>
          <t>اسم المرشح *</t>
        </is>
      </c>
      <c r="B2" s="9" t="inlineStr">
        <is>
          <t>الوظيفة المتقدم لها *</t>
        </is>
      </c>
      <c r="C2" s="9" t="inlineStr">
        <is>
          <t>القسم المطلوب *</t>
        </is>
      </c>
      <c r="D2" s="9" t="inlineStr">
        <is>
          <t>الفرع وموقع العمل *</t>
        </is>
      </c>
      <c r="E2" s="9" t="inlineStr">
        <is>
          <t>الجنسية *</t>
        </is>
      </c>
      <c r="F2" s="9" t="inlineStr">
        <is>
          <t>رقم الجوال *</t>
        </is>
      </c>
      <c r="G2" s="10" t="inlineStr">
        <is>
          <t>البريد الإلكتروني</t>
        </is>
      </c>
      <c r="H2" s="10" t="inlineStr">
        <is>
          <t>الراتب المتوقع (ر.س)</t>
        </is>
      </c>
      <c r="I2" s="10" t="inlineStr">
        <is>
          <t>درجة المقابلة (من 100)</t>
        </is>
      </c>
      <c r="J2" s="9" t="inlineStr">
        <is>
          <t>حالة المرشح *</t>
        </is>
      </c>
    </row>
    <row r="3" ht="24" customHeight="1">
      <c r="A3" s="11" t="inlineStr">
        <is>
          <t>سارة بنت خالد المطيري</t>
        </is>
      </c>
      <c r="B3" s="11" t="inlineStr">
        <is>
          <t>أخصائي تسويق</t>
        </is>
      </c>
      <c r="C3" s="11" t="inlineStr">
        <is>
          <t>المبيعات والتسويق</t>
        </is>
      </c>
      <c r="D3" s="11" t="inlineStr">
        <is>
          <t>فرع الرياض - المقر الرئيسي</t>
        </is>
      </c>
      <c r="E3" s="11" t="inlineStr">
        <is>
          <t>سعودي</t>
        </is>
      </c>
      <c r="F3" s="12" t="inlineStr">
        <is>
          <t>0551234567</t>
        </is>
      </c>
      <c r="G3" s="11" t="inlineStr">
        <is>
          <t>sara@gmail.com</t>
        </is>
      </c>
      <c r="H3" s="15" t="n">
        <v>8500</v>
      </c>
      <c r="I3" s="11" t="n">
        <v>94</v>
      </c>
      <c r="J3" s="11" t="inlineStr">
        <is>
          <t>عرض عمل مرسل</t>
        </is>
      </c>
    </row>
  </sheetData>
  <mergeCells count="1">
    <mergeCell ref="A1:J1"/>
  </mergeCells>
  <dataValidations count="5">
    <dataValidation sqref="B4:B500" showDropDown="0" showInputMessage="0" showErrorMessage="0" allowBlank="1" errorTitle="قيمة غير صالحة" error="الرجاء الاختيار من القائمة المنسدلة المعتمدة فقط." type="list">
      <formula1>=Reference!$G$2:$G$6</formula1>
    </dataValidation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=Reference!$E$2:$E$7</formula1>
    </dataValidation>
    <dataValidation sqref="D4:D500" showDropDown="0" showInputMessage="0" showErrorMessage="0" allowBlank="1" errorTitle="قيمة غير صالحة" error="الرجاء الاختيار من القائمة المنسدلة المعتمدة فقط." type="list">
      <formula1>=Reference!$C$2:$C$5</formula1>
    </dataValidation>
    <dataValidation sqref="E4:E500" showDropDown="0" showInputMessage="0" showErrorMessage="0" allowBlank="1" errorTitle="قيمة غير صالحة" error="الرجاء الاختيار من القائمة المنسدلة المعتمدة فقط." type="list">
      <formula1>=Reference!$M$2:$M$14</formula1>
    </dataValidation>
    <dataValidation sqref="J4:J500" showDropDown="0" showInputMessage="0" showErrorMessage="0" allowBlank="1" errorTitle="قيمة غير صالحة" error="الرجاء الاختيار من القائمة المنسدلة المعتمدة فقط." type="list">
      <formula1>=Reference!$AO$2:$AO$6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1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30" customWidth="1" min="3" max="3"/>
    <col width="24" customWidth="1" min="4" max="4"/>
    <col width="24" customWidth="1" min="5" max="5"/>
    <col width="22" customWidth="1" min="6" max="6"/>
    <col width="22" customWidth="1" min="7" max="7"/>
    <col width="24" customWidth="1" min="8" max="8"/>
    <col width="24" customWidth="1" min="9" max="9"/>
    <col width="20" customWidth="1" min="10" max="10"/>
  </cols>
  <sheetData>
    <row r="1" ht="28" customHeight="1">
      <c r="A1" s="8" t="inlineStr">
        <is>
          <t>المعاملات والتأشيرات الحكومية (GR Transactions - مقيم وقوى)</t>
        </is>
      </c>
    </row>
    <row r="2" ht="36" customHeight="1">
      <c r="A2" s="9" t="inlineStr">
        <is>
          <t>رقم هوية / إقامة الموظف *</t>
        </is>
      </c>
      <c r="B2" s="9" t="inlineStr">
        <is>
          <t>اسم الموظف *</t>
        </is>
      </c>
      <c r="C2" s="9" t="inlineStr">
        <is>
          <t>نوع المعاملة الحكومية *</t>
        </is>
      </c>
      <c r="D2" s="10" t="inlineStr">
        <is>
          <t>تاريخ انتهاء الإقامة هجري</t>
        </is>
      </c>
      <c r="E2" s="10" t="inlineStr">
        <is>
          <t>تاريخ انتهاء الإقامة ميلادي</t>
        </is>
      </c>
      <c r="F2" s="10" t="inlineStr">
        <is>
          <t>رقم جواز السفر</t>
        </is>
      </c>
      <c r="G2" s="10" t="inlineStr">
        <is>
          <t>تاريخ انتهاء الجواز</t>
        </is>
      </c>
      <c r="H2" s="10" t="inlineStr">
        <is>
          <t>رقم الحدود (للقادمين الجدد)</t>
        </is>
      </c>
      <c r="I2" s="10" t="inlineStr">
        <is>
          <t>الرسوم الحكومية المقدرة (ر.س)</t>
        </is>
      </c>
      <c r="J2" s="9" t="inlineStr">
        <is>
          <t>حالة المعاملة *</t>
        </is>
      </c>
    </row>
    <row r="3" ht="24" customHeight="1">
      <c r="A3" s="12" t="inlineStr">
        <is>
          <t>2099887766</t>
        </is>
      </c>
      <c r="B3" s="11" t="inlineStr">
        <is>
          <t>طارق بن أحمد المنصور</t>
        </is>
      </c>
      <c r="C3" s="11" t="inlineStr">
        <is>
          <t>تجديد إقامة</t>
        </is>
      </c>
      <c r="D3" s="12" t="inlineStr">
        <is>
          <t>1448-05-15</t>
        </is>
      </c>
      <c r="E3" s="13" t="inlineStr">
        <is>
          <t>2026-11-20</t>
        </is>
      </c>
      <c r="F3" s="12" t="inlineStr">
        <is>
          <t>A12345678</t>
        </is>
      </c>
      <c r="G3" s="13" t="inlineStr">
        <is>
          <t>2028-06-30</t>
        </is>
      </c>
      <c r="H3" s="12" t="inlineStr"/>
      <c r="I3" s="15" t="n">
        <v>650</v>
      </c>
      <c r="J3" s="11" t="inlineStr">
        <is>
          <t>تحت الإجراء</t>
        </is>
      </c>
    </row>
  </sheetData>
  <mergeCells count="1">
    <mergeCell ref="A1:J1"/>
  </mergeCells>
  <dataValidations count="2">
    <dataValidation sqref="C4:C500" showDropDown="0" showInputMessage="0" showErrorMessage="0" allowBlank="1" errorTitle="قيمة غير صالحة" error="الرجاء الاختيار من القائمة المنسدلة المعتمدة فقط." type="list">
      <formula1>=Reference!$AQ$2:$AQ$8</formula1>
    </dataValidation>
    <dataValidation sqref="J4:J500" showDropDown="0" showInputMessage="0" showErrorMessage="0" allowBlank="1" errorTitle="قيمة غير صالحة" error="الرجاء الاختيار من القائمة المنسدلة المعتمدة فقط." type="list">
      <formula1>=Reference!$AS$2:$AS$5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S17"/>
  <sheetViews>
    <sheetView showGridLines="1" rightToLeft="1" workbookViewId="0">
      <selection activeCell="A1" sqref="A1"/>
    </sheetView>
  </sheetViews>
  <sheetFormatPr baseColWidth="8" defaultRowHeight="15"/>
  <cols>
    <col width="29" customWidth="1" min="1" max="1"/>
    <col width="29" customWidth="1" min="3" max="3"/>
    <col width="24" customWidth="1" min="5" max="5"/>
    <col width="24" customWidth="1" min="7" max="7"/>
    <col width="28" customWidth="1" min="9" max="9"/>
    <col width="24" customWidth="1" min="11" max="11"/>
    <col width="24" customWidth="1" min="13" max="13"/>
    <col width="24" customWidth="1" min="15" max="15"/>
    <col width="24" customWidth="1" min="17" max="17"/>
    <col width="24" customWidth="1" min="19" max="19"/>
    <col width="24" customWidth="1" min="21" max="21"/>
    <col width="39" customWidth="1" min="23" max="23"/>
    <col width="34" customWidth="1" min="25" max="25"/>
    <col width="25" customWidth="1" min="27" max="27"/>
    <col width="24" customWidth="1" min="29" max="29"/>
    <col width="44" customWidth="1" min="31" max="31"/>
    <col width="43" customWidth="1" min="33" max="33"/>
    <col width="77" customWidth="1" min="35" max="35"/>
    <col width="36" customWidth="1" min="37" max="37"/>
    <col width="24" customWidth="1" min="39" max="39"/>
    <col width="24" customWidth="1" min="41" max="41"/>
    <col width="26" customWidth="1" min="43" max="43"/>
    <col width="24" customWidth="1" min="45" max="45"/>
  </cols>
  <sheetData>
    <row r="1">
      <c r="A1" s="19" t="inlineStr">
        <is>
          <t>companies</t>
        </is>
      </c>
      <c r="C1" s="19" t="inlineStr">
        <is>
          <t>branches</t>
        </is>
      </c>
      <c r="E1" s="19" t="inlineStr">
        <is>
          <t>departments</t>
        </is>
      </c>
      <c r="G1" s="19" t="inlineStr">
        <is>
          <t>jobs</t>
        </is>
      </c>
      <c r="I1" s="19" t="inlineStr">
        <is>
          <t>banks</t>
        </is>
      </c>
      <c r="K1" s="19" t="inlineStr">
        <is>
          <t>cities</t>
        </is>
      </c>
      <c r="M1" s="19" t="inlineStr">
        <is>
          <t>nationalities</t>
        </is>
      </c>
      <c r="O1" s="19" t="inlineStr">
        <is>
          <t>genders</t>
        </is>
      </c>
      <c r="Q1" s="19" t="inlineStr">
        <is>
          <t>marital_statuses</t>
        </is>
      </c>
      <c r="S1" s="19" t="inlineStr">
        <is>
          <t>branch_types</t>
        </is>
      </c>
      <c r="U1" s="19" t="inlineStr">
        <is>
          <t>contract_types</t>
        </is>
      </c>
      <c r="W1" s="19" t="inlineStr">
        <is>
          <t>gosi_types</t>
        </is>
      </c>
      <c r="Y1" s="19" t="inlineStr">
        <is>
          <t>leave_types</t>
        </is>
      </c>
      <c r="AA1" s="19" t="inlineStr">
        <is>
          <t>loan_types</t>
        </is>
      </c>
      <c r="AC1" s="19" t="inlineStr">
        <is>
          <t>payment_methods</t>
        </is>
      </c>
      <c r="AE1" s="19" t="inlineStr">
        <is>
          <t>penalty_types</t>
        </is>
      </c>
      <c r="AG1" s="19" t="inlineStr">
        <is>
          <t>overtime_types</t>
        </is>
      </c>
      <c r="AI1" s="19" t="inlineStr">
        <is>
          <t>term_reasons</t>
        </is>
      </c>
      <c r="AK1" s="19" t="inlineStr">
        <is>
          <t>appraisal_types</t>
        </is>
      </c>
      <c r="AM1" s="19" t="inlineStr">
        <is>
          <t>ratings</t>
        </is>
      </c>
      <c r="AO1" s="19" t="inlineStr">
        <is>
          <t>applicant_statuses</t>
        </is>
      </c>
      <c r="AQ1" s="19" t="inlineStr">
        <is>
          <t>gr_types</t>
        </is>
      </c>
      <c r="AS1" s="19" t="inlineStr">
        <is>
          <t>tx_statuses</t>
        </is>
      </c>
    </row>
    <row r="2">
      <c r="A2" s="20" t="inlineStr">
        <is>
          <t>My Company</t>
        </is>
      </c>
      <c r="C2" s="20" t="inlineStr">
        <is>
          <t>فرع الرياض - المقر الرئيسي</t>
        </is>
      </c>
      <c r="E2" s="20" t="inlineStr">
        <is>
          <t>الإدارة العليا</t>
        </is>
      </c>
      <c r="G2" s="20" t="inlineStr">
        <is>
          <t>أخصائي موارد بشرية</t>
        </is>
      </c>
      <c r="I2" s="20" t="inlineStr">
        <is>
          <t>مصرف الراجحي</t>
        </is>
      </c>
      <c r="K2" s="20" t="inlineStr">
        <is>
          <t>الرياض</t>
        </is>
      </c>
      <c r="M2" s="20" t="inlineStr">
        <is>
          <t>سعودي</t>
        </is>
      </c>
      <c r="O2" s="20" t="inlineStr">
        <is>
          <t>ذكر</t>
        </is>
      </c>
      <c r="Q2" s="20" t="inlineStr">
        <is>
          <t>أعزب</t>
        </is>
      </c>
      <c r="S2" s="20" t="inlineStr">
        <is>
          <t>مقر رئيسي</t>
        </is>
      </c>
      <c r="U2" s="20" t="inlineStr">
        <is>
          <t>محدد المدة</t>
        </is>
      </c>
      <c r="W2" s="20" t="inlineStr">
        <is>
          <t>سعودي - مشترك قديم (21.5%)</t>
        </is>
      </c>
      <c r="Y2" s="20" t="inlineStr">
        <is>
          <t>إجازة سنوية اعتيادية</t>
        </is>
      </c>
      <c r="AA2" s="20" t="inlineStr">
        <is>
          <t>سلفة شخصية قصيرة الأجل</t>
        </is>
      </c>
      <c r="AC2" s="20" t="inlineStr">
        <is>
          <t>تحويل بنكي</t>
        </is>
      </c>
      <c r="AE2" s="20" t="inlineStr">
        <is>
          <t>إنذار كتابي أول</t>
        </is>
      </c>
      <c r="AG2" s="20" t="inlineStr">
        <is>
          <t>ساعات عمل عادية (1.5x الأجر الأساسي)</t>
        </is>
      </c>
      <c r="AI2" s="20" t="inlineStr">
        <is>
          <t>انتهاء مدة العقد (مادة 84 - مكافأة كاملة)</t>
        </is>
      </c>
      <c r="AK2" s="20" t="inlineStr">
        <is>
          <t>تقييم سنوي شامل</t>
        </is>
      </c>
      <c r="AM2" s="20" t="inlineStr">
        <is>
          <t>ممتاز (90 - 100)</t>
        </is>
      </c>
      <c r="AO2" s="20" t="inlineStr">
        <is>
          <t>مقبول مبدئياً</t>
        </is>
      </c>
      <c r="AQ2" s="20" t="inlineStr">
        <is>
          <t>تجديد إقامة</t>
        </is>
      </c>
      <c r="AS2" s="20" t="inlineStr">
        <is>
          <t>جديدة</t>
        </is>
      </c>
    </row>
    <row r="3">
      <c r="A3" s="20" t="inlineStr">
        <is>
          <t>شركة النخبة الذكية للتقنية</t>
        </is>
      </c>
      <c r="C3" s="20" t="inlineStr">
        <is>
          <t>فرع جدة</t>
        </is>
      </c>
      <c r="E3" s="20" t="inlineStr">
        <is>
          <t>المبيعات والتسويق</t>
        </is>
      </c>
      <c r="G3" s="20" t="inlineStr">
        <is>
          <t>المدير العام</t>
        </is>
      </c>
      <c r="I3" s="20" t="inlineStr">
        <is>
          <t>البنك الأهلي السعودي</t>
        </is>
      </c>
      <c r="K3" s="20" t="inlineStr">
        <is>
          <t>جدة</t>
        </is>
      </c>
      <c r="M3" s="20" t="inlineStr">
        <is>
          <t>مصري</t>
        </is>
      </c>
      <c r="O3" s="20" t="inlineStr">
        <is>
          <t>أنثى</t>
        </is>
      </c>
      <c r="Q3" s="20" t="inlineStr">
        <is>
          <t>متزوج</t>
        </is>
      </c>
      <c r="S3" s="20" t="inlineStr">
        <is>
          <t>فرع تابع</t>
        </is>
      </c>
      <c r="U3" s="20" t="inlineStr">
        <is>
          <t>غير محدد المدة</t>
        </is>
      </c>
      <c r="W3" s="20" t="inlineStr">
        <is>
          <t>سعودي - مشترك جديد نظام 2024 (متدرج)</t>
        </is>
      </c>
      <c r="Y3" s="20" t="inlineStr">
        <is>
          <t>إجازة مرضية</t>
        </is>
      </c>
      <c r="AA3" s="20" t="inlineStr">
        <is>
          <t>بدل سكن مقدم</t>
        </is>
      </c>
      <c r="AC3" s="20" t="inlineStr">
        <is>
          <t>نقدي (كاش)</t>
        </is>
      </c>
      <c r="AE3" s="20" t="inlineStr">
        <is>
          <t>إنذار كتابي ثانٍ / نهائي</t>
        </is>
      </c>
      <c r="AG3" s="20" t="inlineStr">
        <is>
          <t>ساعات عمل في عطلة أسبوعية / جمعة (1.5x)</t>
        </is>
      </c>
      <c r="AI3" s="20" t="inlineStr">
        <is>
          <t>فسخ العقد باتفاق الطرفين (مادة 84 - مكافأة كاملة)</t>
        </is>
      </c>
      <c r="AK3" s="20" t="inlineStr">
        <is>
          <t>تقييم فترة التجربة (90/180 يوماً)</t>
        </is>
      </c>
      <c r="AM3" s="20" t="inlineStr">
        <is>
          <t>جيد جداً (80 - 89)</t>
        </is>
      </c>
      <c r="AO3" s="20" t="inlineStr">
        <is>
          <t>مقابلة مجدولة</t>
        </is>
      </c>
      <c r="AQ3" s="20" t="inlineStr">
        <is>
          <t>إصدار تأشيرة خروج وعودة</t>
        </is>
      </c>
      <c r="AS3" s="20" t="inlineStr">
        <is>
          <t>تحت الإجراء</t>
        </is>
      </c>
    </row>
    <row r="4">
      <c r="A4" s="20" t="inlineStr">
        <is>
          <t>شركة توركين للتجزئة</t>
        </is>
      </c>
      <c r="C4" s="20" t="inlineStr">
        <is>
          <t>فرع الدمام</t>
        </is>
      </c>
      <c r="E4" s="20" t="inlineStr">
        <is>
          <t>المحاسبة والمالية</t>
        </is>
      </c>
      <c r="G4" s="20" t="inlineStr">
        <is>
          <t>محاسب</t>
        </is>
      </c>
      <c r="I4" s="20" t="inlineStr">
        <is>
          <t>مصرف الإنماء</t>
        </is>
      </c>
      <c r="K4" s="20" t="inlineStr">
        <is>
          <t>الدمام</t>
        </is>
      </c>
      <c r="M4" s="20" t="inlineStr">
        <is>
          <t>يمني</t>
        </is>
      </c>
      <c r="Q4" s="20" t="inlineStr">
        <is>
          <t>مطلق</t>
        </is>
      </c>
      <c r="W4" s="20" t="inlineStr">
        <is>
          <t>غير سعودي - أخطار مهنية فقط (2%)</t>
        </is>
      </c>
      <c r="Y4" s="20" t="inlineStr">
        <is>
          <t>إجازة زواج (مادة 113 - 5 أيام)</t>
        </is>
      </c>
      <c r="AA4" s="20" t="inlineStr">
        <is>
          <t>قرض زواج ميسر</t>
        </is>
      </c>
      <c r="AC4" s="20" t="inlineStr">
        <is>
          <t>شيك مصرفي</t>
        </is>
      </c>
      <c r="AE4" s="20" t="inlineStr">
        <is>
          <t>خصم يوم من الأجر</t>
        </is>
      </c>
      <c r="AG4" s="20" t="inlineStr">
        <is>
          <t>ساعات عمل في يوم عيد / عطلة رسمية (1.5x)</t>
        </is>
      </c>
      <c r="AI4" s="20" t="inlineStr">
        <is>
          <t>استقالة العامل - خدمة أقل من سنتين (مادة 85 - لا يستحق)</t>
        </is>
      </c>
      <c r="AK4" s="20" t="inlineStr">
        <is>
          <t>تقييم نصف سنوي</t>
        </is>
      </c>
      <c r="AM4" s="20" t="inlineStr">
        <is>
          <t>جيد (70 - 79)</t>
        </is>
      </c>
      <c r="AO4" s="20" t="inlineStr">
        <is>
          <t>عرض عمل مرسل</t>
        </is>
      </c>
      <c r="AQ4" s="20" t="inlineStr">
        <is>
          <t>إصدار تأشيرة نهائية</t>
        </is>
      </c>
      <c r="AS4" s="20" t="inlineStr">
        <is>
          <t>مكتملة ومعتمدة</t>
        </is>
      </c>
    </row>
    <row r="5">
      <c r="A5" s="20" t="inlineStr">
        <is>
          <t>شركة العقار الموحدة</t>
        </is>
      </c>
      <c r="C5" s="20" t="inlineStr">
        <is>
          <t>فرع الخبر</t>
        </is>
      </c>
      <c r="E5" s="20" t="inlineStr">
        <is>
          <t>الموارد البشرية</t>
        </is>
      </c>
      <c r="G5" s="20" t="inlineStr">
        <is>
          <t>مطوّر برمجيات</t>
        </is>
      </c>
      <c r="I5" s="20" t="inlineStr">
        <is>
          <t>بنك الرياض</t>
        </is>
      </c>
      <c r="K5" s="20" t="inlineStr">
        <is>
          <t>مكة المكرمة</t>
        </is>
      </c>
      <c r="M5" s="20" t="inlineStr">
        <is>
          <t>أردني</t>
        </is>
      </c>
      <c r="Q5" s="20" t="inlineStr">
        <is>
          <t>أرمل</t>
        </is>
      </c>
      <c r="Y5" s="20" t="inlineStr">
        <is>
          <t>إجازة وفاة (مادة 113 - 5 أيام)</t>
        </is>
      </c>
      <c r="AA5" s="20" t="inlineStr">
        <is>
          <t>سلفة طارئة</t>
        </is>
      </c>
      <c r="AE5" s="20" t="inlineStr">
        <is>
          <t>خصم يومين من الأجر</t>
        </is>
      </c>
      <c r="AI5" s="20" t="inlineStr">
        <is>
          <t>استقالة العامل - خدمة 2 إلى 5 سنوات (مادة 85 - ثلث المكافأة)</t>
        </is>
      </c>
      <c r="AM5" s="20" t="inlineStr">
        <is>
          <t>مرضي (60 - 69)</t>
        </is>
      </c>
      <c r="AO5" s="20" t="inlineStr">
        <is>
          <t>معتمد ومباشر</t>
        </is>
      </c>
      <c r="AQ5" s="20" t="inlineStr">
        <is>
          <t>تجديد رخصة عمل</t>
        </is>
      </c>
      <c r="AS5" s="20" t="inlineStr">
        <is>
          <t>ملغاة</t>
        </is>
      </c>
    </row>
    <row r="6">
      <c r="E6" s="20" t="inlineStr">
        <is>
          <t>تقنية المعلومات</t>
        </is>
      </c>
      <c r="G6" s="20" t="inlineStr">
        <is>
          <t>مندوب مبيعات</t>
        </is>
      </c>
      <c r="I6" s="20" t="inlineStr">
        <is>
          <t>بنك البلاد</t>
        </is>
      </c>
      <c r="K6" s="20" t="inlineStr">
        <is>
          <t>المدينة المنورة</t>
        </is>
      </c>
      <c r="M6" s="20" t="inlineStr">
        <is>
          <t>سوري</t>
        </is>
      </c>
      <c r="Y6" s="20" t="inlineStr">
        <is>
          <t>إجازة مولود (مادة 113 - 3 أيام)</t>
        </is>
      </c>
      <c r="AE6" s="20" t="inlineStr">
        <is>
          <t>خصم 3 أيام من الأجر</t>
        </is>
      </c>
      <c r="AI6" s="20" t="inlineStr">
        <is>
          <t>استقالة العامل - خدمة 5 إلى 10 سنوات (مادة 85 - ثلثي المكافأة)</t>
        </is>
      </c>
      <c r="AM6" s="20" t="inlineStr">
        <is>
          <t>غير مرضي (أقل من 60)</t>
        </is>
      </c>
      <c r="AO6" s="20" t="inlineStr">
        <is>
          <t>مرفوض</t>
        </is>
      </c>
      <c r="AQ6" s="20" t="inlineStr">
        <is>
          <t>تعديل مهنة في قوى ومقيم</t>
        </is>
      </c>
    </row>
    <row r="7">
      <c r="E7" s="20" t="inlineStr">
        <is>
          <t>Administration</t>
        </is>
      </c>
      <c r="I7" s="20" t="inlineStr">
        <is>
          <t>البنك العربي الوطني</t>
        </is>
      </c>
      <c r="K7" s="20" t="inlineStr">
        <is>
          <t>الخبر</t>
        </is>
      </c>
      <c r="M7" s="20" t="inlineStr">
        <is>
          <t>لبناني</t>
        </is>
      </c>
      <c r="Y7" s="20" t="inlineStr">
        <is>
          <t>إجازة حج (مادة 114)</t>
        </is>
      </c>
      <c r="AE7" s="20" t="inlineStr">
        <is>
          <t>خصم 5 أيام من الأجر (الحد الأقصى مادة 70)</t>
        </is>
      </c>
      <c r="AI7" s="20" t="inlineStr">
        <is>
          <t>استقالة العامل - خدمة أكثر من 10 سنوات (مادة 85 - مكافأة كاملة)</t>
        </is>
      </c>
      <c r="AQ7" s="20" t="inlineStr">
        <is>
          <t>نقل كفالة</t>
        </is>
      </c>
    </row>
    <row r="8">
      <c r="I8" s="20" t="inlineStr">
        <is>
          <t>البنك السعودي الأول (ساب)</t>
        </is>
      </c>
      <c r="K8" s="20" t="inlineStr">
        <is>
          <t>الجبيل</t>
        </is>
      </c>
      <c r="M8" s="20" t="inlineStr">
        <is>
          <t>سوداني</t>
        </is>
      </c>
      <c r="Y8" s="20" t="inlineStr">
        <is>
          <t>إجازة بدون راتب</t>
        </is>
      </c>
      <c r="AE8" s="20" t="inlineStr">
        <is>
          <t>إيقاف عن العمل مع حرمان من الأجر</t>
        </is>
      </c>
      <c r="AI8" s="20" t="inlineStr">
        <is>
          <t>فصل بموجب المادة 80 (سقوط المكافأة نظاماً)</t>
        </is>
      </c>
      <c r="AQ8" s="20" t="inlineStr">
        <is>
          <t>إصدار إقامة جديدة</t>
        </is>
      </c>
    </row>
    <row r="9">
      <c r="I9" s="20" t="inlineStr">
        <is>
          <t>بنك الجزيرة</t>
        </is>
      </c>
      <c r="K9" s="20" t="inlineStr">
        <is>
          <t>الأحساء</t>
        </is>
      </c>
      <c r="M9" s="20" t="inlineStr">
        <is>
          <t>هندي</t>
        </is>
      </c>
      <c r="AI9" s="20" t="inlineStr">
        <is>
          <t>إنهاء غير مشروع من صاحب العمل مادة 77 (مكافأة + تعويض)</t>
        </is>
      </c>
    </row>
    <row r="10">
      <c r="I10" s="20" t="inlineStr">
        <is>
          <t>البنك السعودي للاستثمار</t>
        </is>
      </c>
      <c r="K10" s="20" t="inlineStr">
        <is>
          <t>تبوك</t>
        </is>
      </c>
      <c r="M10" s="20" t="inlineStr">
        <is>
          <t>باكستاني</t>
        </is>
      </c>
      <c r="AI10" s="20" t="inlineStr">
        <is>
          <t>ترك العمل بموجب المادة 81 لخطأ صاحب العمل (مكافأة كاملة)</t>
        </is>
      </c>
    </row>
    <row r="11">
      <c r="I11" s="20" t="inlineStr">
        <is>
          <t>بنك الخليج الدولي</t>
        </is>
      </c>
      <c r="K11" s="20" t="inlineStr">
        <is>
          <t>أبها</t>
        </is>
      </c>
      <c r="M11" s="20" t="inlineStr">
        <is>
          <t>فلبيني</t>
        </is>
      </c>
      <c r="AI11" s="20" t="inlineStr">
        <is>
          <t>استقالة العاملة خلال 6 أشهر من الزواج أو 3 أشهر من الوضع (مادة 87 - كاملة)</t>
        </is>
      </c>
    </row>
    <row r="12">
      <c r="K12" s="20" t="inlineStr">
        <is>
          <t>خميس مشيط</t>
        </is>
      </c>
      <c r="M12" s="20" t="inlineStr">
        <is>
          <t>بنجلاديشي</t>
        </is>
      </c>
    </row>
    <row r="13">
      <c r="K13" s="20" t="inlineStr">
        <is>
          <t>جازان</t>
        </is>
      </c>
      <c r="M13" s="20" t="inlineStr">
        <is>
          <t>نيبالي</t>
        </is>
      </c>
    </row>
    <row r="14">
      <c r="K14" s="20" t="inlineStr">
        <is>
          <t>نجران</t>
        </is>
      </c>
      <c r="M14" s="20" t="inlineStr">
        <is>
          <t>أخرى</t>
        </is>
      </c>
    </row>
    <row r="15">
      <c r="K15" s="20" t="inlineStr">
        <is>
          <t>حائل</t>
        </is>
      </c>
    </row>
    <row r="16">
      <c r="K16" s="20" t="inlineStr">
        <is>
          <t>ينبع</t>
        </is>
      </c>
    </row>
    <row r="17">
      <c r="K17" s="20" t="inlineStr">
        <is>
          <t>القصيم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2026-10-06T00:44:51Z</dcterms:created>
  <dcterms:modified xsi:type="dcterms:W3CDTF">2026-10-06T00:44:51Z</dcterms:modified>
</cp:coreProperties>
</file>